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DEs_Orquestadores" sheetId="1" r:id="rId5"/>
    <sheet state="visible" name="2_Harnesses_CLI" sheetId="2" r:id="rId6"/>
    <sheet state="visible" name="3_Agent_OS_Plataformas" sheetId="3" r:id="rId7"/>
    <sheet state="visible" name="4_Agentes_E2E_Cloud" sheetId="4" r:id="rId8"/>
    <sheet state="visible" name="5_Agentic_IDEs" sheetId="5" r:id="rId9"/>
    <sheet state="visible" name="6_Explicacion_Pedagogica" sheetId="6" r:id="rId10"/>
    <sheet state="visible" name="7_Detalle_de_Medidas" sheetId="7" r:id="rId11"/>
    <sheet state="visible" name="8_Capacidades_Ventajas_Desventa" sheetId="8" r:id="rId12"/>
  </sheets>
  <definedNames/>
  <calcPr/>
</workbook>
</file>

<file path=xl/sharedStrings.xml><?xml version="1.0" encoding="utf-8"?>
<sst xmlns="http://schemas.openxmlformats.org/spreadsheetml/2006/main" count="430" uniqueCount="323">
  <si>
    <t>Puesto</t>
  </si>
  <si>
    <t>Herramienta</t>
  </si>
  <si>
    <t>C1 (SWE 20%)</t>
  </si>
  <si>
    <t>C2 (Autonomía 15%)</t>
  </si>
  <si>
    <t>C3 (Coste 15%)</t>
  </si>
  <si>
    <t>C4 (Aislamiento 15%)</t>
  </si>
  <si>
    <t>C5 (Visual 15%)</t>
  </si>
  <si>
    <t>C6 (Herramientas 20%)</t>
  </si>
  <si>
    <t>Puntuación Global</t>
  </si>
  <si>
    <t>Característica Clave</t>
  </si>
  <si>
    <t>Manus AI</t>
  </si>
  <si>
    <t>Google Spark (Gemini Spark)</t>
  </si>
  <si>
    <t>OpenCode</t>
  </si>
  <si>
    <t>Google Antigravity 2.0</t>
  </si>
  <si>
    <t>Agente general autónomo en nube</t>
  </si>
  <si>
    <t>OpenHands</t>
  </si>
  <si>
    <t>Agente personal 24/7 con Workspace</t>
  </si>
  <si>
    <t>LSP nativo y arquitectura cliente-servidor</t>
  </si>
  <si>
    <t>Factory Droid</t>
  </si>
  <si>
    <t>OpenClaw 2.0</t>
  </si>
  <si>
    <t>Ingeniería de software en Docker</t>
  </si>
  <si>
    <t>Perplexity Computer</t>
  </si>
  <si>
    <t>Contexto masivo y artefactos visuales</t>
  </si>
  <si>
    <t>Plataforma omnicanal con control OS</t>
  </si>
  <si>
    <t>AutoClaw</t>
  </si>
  <si>
    <t>Navegación web con búsqueda integrada</t>
  </si>
  <si>
    <t>Superset</t>
  </si>
  <si>
    <t>Devin (Cognition)</t>
  </si>
  <si>
    <t>Agente empresarial líder en Terminal-Bench</t>
  </si>
  <si>
    <t>Oh My Pi (OMP)</t>
  </si>
  <si>
    <t>OpenClaw empaquetado de un clic</t>
  </si>
  <si>
    <t>Hermes Agent</t>
  </si>
  <si>
    <t>Worktrees paralelos y visor visual</t>
  </si>
  <si>
    <t>Resolución autónoma de tickets cloud</t>
  </si>
  <si>
    <t>LSP nativo y depurador DAP</t>
  </si>
  <si>
    <t>ZCode (Z.ai)</t>
  </si>
  <si>
    <t>DeepSeek Harness (dsh)</t>
  </si>
  <si>
    <t>Auto-aprendizaje con habilidades dinámicas persistentes</t>
  </si>
  <si>
    <t>Goose (Block)</t>
  </si>
  <si>
    <t>ADE de escritorio para GLM</t>
  </si>
  <si>
    <t>Microkernel desacoplado tipo plugin universal</t>
  </si>
  <si>
    <t>Agente general para el sistema</t>
  </si>
  <si>
    <t>GooeyPi</t>
  </si>
  <si>
    <t>Prime Agent</t>
  </si>
  <si>
    <t>ADE unificado para entorno Pi</t>
  </si>
  <si>
    <t>Arnés RLM para tareas prolongadas</t>
  </si>
  <si>
    <t>Paseo</t>
  </si>
  <si>
    <t>Kimi Code (Moonshot)</t>
  </si>
  <si>
    <t>Orquestador agéntico con control remoto</t>
  </si>
  <si>
    <t>Arnés terminal con contexto 1M</t>
  </si>
  <si>
    <t>Warp 2.0 (ADE)</t>
  </si>
  <si>
    <t>Reasonix</t>
  </si>
  <si>
    <t>Terminal moderna con flujos interactivos</t>
  </si>
  <si>
    <t>Optimización extrema por prefix caching</t>
  </si>
  <si>
    <t>Grok Build (xAI)</t>
  </si>
  <si>
    <t>Arnés en Rust con TUI interactiva</t>
  </si>
  <si>
    <t>Pi</t>
  </si>
  <si>
    <t>Arnés minimalista modular en TypeScript</t>
  </si>
  <si>
    <t>Aider</t>
  </si>
  <si>
    <t>Pair programming directo en Git</t>
  </si>
  <si>
    <t>Antigravity CLI</t>
  </si>
  <si>
    <t>Arnés terminal para repositorios masivos</t>
  </si>
  <si>
    <t>Codex CLI</t>
  </si>
  <si>
    <t>Razonamiento veloz del ecosistema OpenAI</t>
  </si>
  <si>
    <t>Claude Code</t>
  </si>
  <si>
    <t>Ingeniería profunda en consola local</t>
  </si>
  <si>
    <t>Kilo Code (Kilo-Org)</t>
  </si>
  <si>
    <t>Agente multi-modo para IDE y CLI</t>
  </si>
  <si>
    <t>Roo Code / Cline</t>
  </si>
  <si>
    <t>Agente autónomo integrado en VSCode</t>
  </si>
  <si>
    <t>Google AI Studio (Build)</t>
  </si>
  <si>
    <t>Prototipado rápido con despliegue cloud</t>
  </si>
  <si>
    <t>Cursor</t>
  </si>
  <si>
    <t>Editor visual con IA integrada</t>
  </si>
  <si>
    <t>Bolt.new</t>
  </si>
  <si>
    <t>WebContainers en navegador con preview</t>
  </si>
  <si>
    <t>Capa Arquitectónica</t>
  </si>
  <si>
    <t>Lovable.dev</t>
  </si>
  <si>
    <t>Descripción</t>
  </si>
  <si>
    <t>Ejemplos</t>
  </si>
  <si>
    <t>Vibe coding con Supabase integrado</t>
  </si>
  <si>
    <t>Capa 1: Modelos Fundacionales (Cognición Pura)</t>
  </si>
  <si>
    <t>Windsurf</t>
  </si>
  <si>
    <t>Proveen razonamiento pero carecen de entorno de ejecución por sí mismos.</t>
  </si>
  <si>
    <t>Claude 3.7/Opus, Gemini 2.5/Flash, GPT-4o/o-series, DeepSeek V3/R1</t>
  </si>
  <si>
    <t>Flujos Cascade y análisis contextual</t>
  </si>
  <si>
    <t>Capa 2: Agent Harnesses (Ejecución y Herramientas)</t>
  </si>
  <si>
    <t>Código envolvente que otorga al modelo un bucle cerrado (while loop), herramientas de terminal, gestión de memoria y conectores MCP.</t>
  </si>
  <si>
    <t>v0 by Vercel</t>
  </si>
  <si>
    <t>OpenCode, OMP, Reasonix, Claude Code</t>
  </si>
  <si>
    <t>Capa 3: ADEs y Orquestadores (Espacio de Trabajo Humano-Agente)</t>
  </si>
  <si>
    <t>Plataformas de supervisión que gestionan múltiples agentes a la vez sobre git worktrees y visores de diffs sin comandos manuales.</t>
  </si>
  <si>
    <t>Google Antigravity 2.0, Superset, GooeyPi</t>
  </si>
  <si>
    <t>Capa 4: Agent OS y Asistentes Omnicanal</t>
  </si>
  <si>
    <t>Sistemas con memoria persistente y pasarelas de mensajería que extienden el agente fuera de la computadora hacia la vida diaria.</t>
  </si>
  <si>
    <t>Generación visual frontend sin código</t>
  </si>
  <si>
    <t>Google Spark, OpenClaw 2.0, AutoClaw, Hermes</t>
  </si>
  <si>
    <t>Capa 5: Agentes E2E Cloud y Prototipado Visual</t>
  </si>
  <si>
    <t>Sistemas que abstraen completamente la máquina local mediante contenedores cloud o WebContainers en navegador.</t>
  </si>
  <si>
    <t>Manus, OpenHands, Bolt.new, v0</t>
  </si>
  <si>
    <t>Medida</t>
  </si>
  <si>
    <t>Contexto: ZCode</t>
  </si>
  <si>
    <t>Peso</t>
  </si>
  <si>
    <t>Enfoque ADE centrado en modelos GLM-5.3</t>
  </si>
  <si>
    <t>Definición</t>
  </si>
  <si>
    <t>Capa 3: ADEs y Orquestadores</t>
  </si>
  <si>
    <t>Contexto: Kimi Code</t>
  </si>
  <si>
    <t>Moonshot K3 con 1M contexto</t>
  </si>
  <si>
    <t>C1: Ingeniería de Software y Código Complejo (SWE)</t>
  </si>
  <si>
    <t>Capa 2: Agent Harnesses</t>
  </si>
  <si>
    <t>Contexto: Grok Build</t>
  </si>
  <si>
    <t>Arquitectura en Rust de xAI</t>
  </si>
  <si>
    <t>Contexto: Kilo Code</t>
  </si>
  <si>
    <t>Agentic IDE</t>
  </si>
  <si>
    <t>Mide la capacidad del agente para comprender bases de código grandes, manipular AST, resolver errores sintácticos y lógicos, ejecutar pruebas unitarias y aprobar suites como SWE-bench y Terminal-Bench.</t>
  </si>
  <si>
    <t>C2: Autonomía y Tareas de Larga Duración</t>
  </si>
  <si>
    <t>Evalúa la estabilidad del agente para trabajar sin supervisión durante horas, ejecutar bucles recursivos (RLM), gestionar memoria a largo plazo y recuperarse de excepciones.</t>
  </si>
  <si>
    <t>C3: Eficiencia de Costes y Gestión de Contexto</t>
  </si>
  <si>
    <t>Analiza el consumo y costo de tokens, aprovechamiento de prefix-caching (KV cache), soporte de ventanas de contexto masivas (1M-2M tokens) y tiers económicos o locales.</t>
  </si>
  <si>
    <t>C4: Aislamiento y Orquestación Multi-Tarea</t>
  </si>
  <si>
    <t>Evalúa el soporte de git worktrees en paralelo, sandboxing en Docker/VMs, sub-agentes concurrentes y control de ramas simultáneas.</t>
  </si>
  <si>
    <t>C5: Supervisión Visual y Ergonomía GUI</t>
  </si>
  <si>
    <t>Califica la presencia de interfaces gráficas, visores de diffs interactivos, previsualizaciones web en vivo y eliminación de la fatiga de terminal.</t>
  </si>
  <si>
    <t>C6: Capacidad de Herramientas e Integraciones</t>
  </si>
  <si>
    <t>Mide el volumen y flexibilidad de herramientas: soporte del protocolo MCP, servidores LSP, depuradores DAP, pasarelas de mensajería, control del SO (Computer Use) y ausencia de vendor lock-in (Multi-LLM).</t>
  </si>
  <si>
    <t>Categoría</t>
  </si>
  <si>
    <t>Desarrollador / Origen</t>
  </si>
  <si>
    <t>Capacidades Principales</t>
  </si>
  <si>
    <t>Fórmula de Puntuación Global</t>
  </si>
  <si>
    <t>Características Clave</t>
  </si>
  <si>
    <t>= (C1*0.20) + (C2*0.15) + (C3*0.15) + (C4*0.15) + (C5*0.15) + (C6*0.20)</t>
  </si>
  <si>
    <t>Ventajas Principales</t>
  </si>
  <si>
    <t>Desventajas / Limitaciones</t>
  </si>
  <si>
    <t>Escala de interpretación</t>
  </si>
  <si>
    <t>1.0-3.0 (Deficiente/Inexistente), 4.0-6.0 (Básico/Con limitaciones), 7.0-8.0 (Sólido/Producción), 9.0-10.0 (Líder/Referente de la industria).</t>
  </si>
  <si>
    <t>ADE</t>
  </si>
  <si>
    <t>Google</t>
  </si>
  <si>
    <t>Contexto masivo 2M, subagentes asíncronos, artefactos visuales</t>
  </si>
  <si>
    <t>Integración nativa Google Cloud/Firebase</t>
  </si>
  <si>
    <t>Visibilidad completa de artefactos y contexto de millones de tokens</t>
  </si>
  <si>
    <t>Centrado en el ecosistema Gemini.</t>
  </si>
  <si>
    <t>Superset.sh</t>
  </si>
  <si>
    <t>Orquestador de agentes CLI sobre Git worktrees</t>
  </si>
  <si>
    <t>Visor de diffs y navegador integrado</t>
  </si>
  <si>
    <t>Excelente para correr 5+ agentes CLI en paralelo sin pisar código</t>
  </si>
  <si>
    <t>Requiere instalar los agentes CLI por separado.</t>
  </si>
  <si>
    <t>Comunitario</t>
  </si>
  <si>
    <t>Interfaz gráfica de escritorio para Pi, OMP y Prime</t>
  </si>
  <si>
    <t>Conmutador de arneses con sesiones independientes</t>
  </si>
  <si>
    <t>Unifica el ecosistema Pi en una app amigable</t>
  </si>
  <si>
    <t>Limitado a la familia Pi.</t>
  </si>
  <si>
    <t>Warp</t>
  </si>
  <si>
    <t>Terminal inteligente con bloques y flujos agénticos</t>
  </si>
  <si>
    <t>Workflows colaborativos y corrección guiada</t>
  </si>
  <si>
    <t>Gran ergonomía para usuarios de consola moderna</t>
  </si>
  <si>
    <t>Modelo freemium propietario.</t>
  </si>
  <si>
    <t>Harness CLI</t>
  </si>
  <si>
    <t>Anomaly / SST</t>
  </si>
  <si>
    <t>Arquitectura cliente-servidor con LSP, TUI Bubble Tea, 75+ LLMs</t>
  </si>
  <si>
    <t>Soporte MCP y rollback Git</t>
  </si>
  <si>
    <t>Soporte masivo de modelos con LSP real y desktop app</t>
  </si>
  <si>
    <t>Requiere gestionar tus propias claves de API.</t>
  </si>
  <si>
    <t>Factory</t>
  </si>
  <si>
    <t>Revisión y reparación de PRs en GitHub/GitLab</t>
  </si>
  <si>
    <t>Máxima precisión en flujos de ingeniería corporativos</t>
  </si>
  <si>
    <t>Coste y enfoque estrictamente empresarial.</t>
  </si>
  <si>
    <t>can1357</t>
  </si>
  <si>
    <t>Arnés Pi con baterías incluidas: LSP, DAP, subagentes IRC</t>
  </si>
  <si>
    <t>60+ proveedores de modelos</t>
  </si>
  <si>
    <t>El arnés con mayor contexto técnico de compilador</t>
  </si>
  <si>
    <t>Interfaz centrada exclusivamente en consola.</t>
  </si>
  <si>
    <t>Meta-Harness</t>
  </si>
  <si>
    <t>DeepSeek AI</t>
  </si>
  <si>
    <t>Microkernel Cordis donde todo es un plugin</t>
  </si>
  <si>
    <t>Puede orquestar a Claude Code y Codex como subagentes</t>
  </si>
  <si>
    <t>Modularidad total y capacidad meta-agéntica</t>
  </si>
  <si>
    <t>Nivel de madurez developer preview.</t>
  </si>
  <si>
    <t>Prime Intellect</t>
  </si>
  <si>
    <t>Arnés RLM para tareas de larga duración</t>
  </si>
  <si>
    <t>REPL interactivo Python persistente</t>
  </si>
  <si>
    <t>Trabaja durante horas sin supervisión auto-reparándose</t>
  </si>
  <si>
    <t>Alto consumo de tokens en ciclos recursivos.</t>
  </si>
  <si>
    <t>esengine</t>
  </si>
  <si>
    <t>Arnés optimizado para prefix-caching de DeepSeek</t>
  </si>
  <si>
    <t>Binario estático en Go sin dependencias</t>
  </si>
  <si>
    <t>Ahorro de hasta 90% en coste de tokens en sesiones largas</t>
  </si>
  <si>
    <t>Enfocado primordialmente en la API de DeepSeek.</t>
  </si>
  <si>
    <t>Mario Zechner</t>
  </si>
  <si>
    <t>Núcleo minimalista y modular en TypeScript</t>
  </si>
  <si>
    <t>SDK, RPC y sesiones en árbol</t>
  </si>
  <si>
    <t>Cero bloatware, 100% hackeable</t>
  </si>
  <si>
    <t>Requiere construir tus propias herramientas avanzadas.</t>
  </si>
  <si>
    <t>Paul Gauthier</t>
  </si>
  <si>
    <t>Pair programming por consola acoplado a Git</t>
  </si>
  <si>
    <t>Auto-commits con descripciones semánticas</t>
  </si>
  <si>
    <t>Historial de commits impecable y estabilidad probada</t>
  </si>
  <si>
    <t>Carece de sub-agentes concurrentes nativos.</t>
  </si>
  <si>
    <t>CLI oficial co-diseñado para modelos Gemini</t>
  </si>
  <si>
    <t>Procesamiento de repositorios completos sin podar</t>
  </si>
  <si>
    <t>Aprovecha la ventana de contexto de 2M tokens en terminal</t>
  </si>
  <si>
    <t>Muy ligado a Gemini.</t>
  </si>
  <si>
    <t>OpenAI</t>
  </si>
  <si>
    <t>Arnés oficial de terminal y cloud de OpenAI</t>
  </si>
  <si>
    <t>Integrado con modelos de razonamiento o-series</t>
  </si>
  <si>
    <t>Respuestas rápidas y razonamiento algorítmico</t>
  </si>
  <si>
    <t>Bloqueo de proveedor en OpenAI.</t>
  </si>
  <si>
    <t>Anthropic</t>
  </si>
  <si>
    <t>Arnés CLI oficial de Anthropic para ingeniería</t>
  </si>
  <si>
    <t>Bucles cerrados de pruebas y refactorización</t>
  </si>
  <si>
    <t>El estándar de oro en SWE-bench y razonamiento de repositorio</t>
  </si>
  <si>
    <t>100% terminal y atado a suscripciones Claude.</t>
  </si>
  <si>
    <t>Google Spark</t>
  </si>
  <si>
    <t>Agent OS</t>
  </si>
  <si>
    <t>Agente 24/7 personal en la nube con Workspace</t>
  </si>
  <si>
    <t>Automatizaciones asíncronas desatendidas</t>
  </si>
  <si>
    <t>Automatiza tareas cotidianas en Gmail/Drive mientras duermes</t>
  </si>
  <si>
    <t>Diseñado para productividad personal, no para codificación pura.</t>
  </si>
  <si>
    <t>Peter Steinberger</t>
  </si>
  <si>
    <t>Pasarela omnicanal (WhatsApp/Telegram/Slack) con Computer Use</t>
  </si>
  <si>
    <t>SQLite local y modo multiplayer</t>
  </si>
  <si>
    <t>Control total del SO, privacidad estricta y multicanal</t>
  </si>
  <si>
    <t>Curva de instalación técnica inicial.</t>
  </si>
  <si>
    <t>Zhipu AI</t>
  </si>
  <si>
    <t>Instalador de un solo clic de OpenClaw para escritorio</t>
  </si>
  <si>
    <t>Modelos y 50+ skills preconfiguradas</t>
  </si>
  <si>
    <t>Toda la potencia de OpenClaw sin tocar la consola</t>
  </si>
  <si>
    <t>Menor flexibilidad de personalización profunda.</t>
  </si>
  <si>
    <t>Nous Research</t>
  </si>
  <si>
    <t>Agente auto-evolutivo con persistencia de memoria</t>
  </si>
  <si>
    <t>Crea y refina nuevas habilidades SKILL.md sobre la marcha</t>
  </si>
  <si>
    <t>Aprende y genera nuevas capacidades dinámicamente</t>
  </si>
  <si>
    <t>Requiere hardware capaz o servidor propio.</t>
  </si>
  <si>
    <t>Goose</t>
  </si>
  <si>
    <t>Block</t>
  </si>
  <si>
    <t>Agente generalista de código abierto para automatizar el SO</t>
  </si>
  <si>
    <t>Extensiones de plugins y MCP</t>
  </si>
  <si>
    <t>Gran flexibilidad para automatizar flujos corporativos locales</t>
  </si>
  <si>
    <t>Ecosistema de comunidad más pequeño.</t>
  </si>
  <si>
    <t>Agente E2E</t>
  </si>
  <si>
    <t>Butterfly Effect</t>
  </si>
  <si>
    <t>Agente generalista autónomo en sandbox de la nube</t>
  </si>
  <si>
    <t>Genera proyectos, webs y reportes completos</t>
  </si>
  <si>
    <t>Cero configuración local y alta autonomía desatendida</t>
  </si>
  <si>
    <t>Caja negra cerrada, alto coste y nulo control local.</t>
  </si>
  <si>
    <t>All-Hands AI</t>
  </si>
  <si>
    <t>Alternativa open-source a Devin en Docker</t>
  </si>
  <si>
    <t>GUI web con terminal, explorador y navegador</t>
  </si>
  <si>
    <t>Soberanía de datos en tu propio servidor con cualquier LLM</t>
  </si>
  <si>
    <t>Requiere infraestructura Docker con recursos holgados.</t>
  </si>
  <si>
    <t>Perplexity</t>
  </si>
  <si>
    <t>Navegación autónoma multi-sitio con búsqueda en vivo</t>
  </si>
  <si>
    <t>Relleno de formularios y recolección de datos</t>
  </si>
  <si>
    <t>Excelente para investigación cruzada y automatización web</t>
  </si>
  <si>
    <t>No es un entorno de ingeniería de software para repositorios.</t>
  </si>
  <si>
    <t>Devin</t>
  </si>
  <si>
    <t>Cognition</t>
  </si>
  <si>
    <t>Agente de software cloud que resuelve issues de GitHub</t>
  </si>
  <si>
    <t>Entorno de desarrollo completo en la nube</t>
  </si>
  <si>
    <t>Capaz de resolver tickets completos de forma asíncrona</t>
  </si>
  <si>
    <t>Precio enterprise elevado y servicio cerrado.</t>
  </si>
  <si>
    <t>RooVetGit</t>
  </si>
  <si>
    <t>Extensión agéntica en VS Code con soporte MCP total</t>
  </si>
  <si>
    <t>Control estricto de aprobaciones y multi-LLM</t>
  </si>
  <si>
    <t>Máxima transparencia y seguridad dentro de VS Code</t>
  </si>
  <si>
    <t>Depende del editor VS Code.</t>
  </si>
  <si>
    <t>Prototipado web en vivo con arnés Antigravity</t>
  </si>
  <si>
    <t>Previsualización interactiva y despliegue a Firebase</t>
  </si>
  <si>
    <t>Ideal para crear apps web completas sin terminal</t>
  </si>
  <si>
    <t>Exclusivo de la nube de Google.</t>
  </si>
  <si>
    <t>Anysphere</t>
  </si>
  <si>
    <t>Editor basado en VS Code con Composer y selección visual</t>
  </si>
  <si>
    <t>Indexación semántica profunda del proyecto</t>
  </si>
  <si>
    <t>La mejor ergonomía de edición visual en línea (Cmd+K)</t>
  </si>
  <si>
    <t>Código propietario y planes de suscripción.</t>
  </si>
  <si>
    <t>StackBlitz</t>
  </si>
  <si>
    <t>Entorno WebContainer en navegador para apps full-stack</t>
  </si>
  <si>
    <t>Servidor Node.js y preview en vivo instantáneo</t>
  </si>
  <si>
    <t>Puesta en marcha instantánea en navegador sin instalar nada</t>
  </si>
  <si>
    <t>Limitado a entornos compatibles con WebContainers.</t>
  </si>
  <si>
    <t>Lovable</t>
  </si>
  <si>
    <t>Vibe coding de aplicaciones completas con Supabase</t>
  </si>
  <si>
    <t>Edición haciendo clic en componentes visuales</t>
  </si>
  <si>
    <t>Ideal para no programadores y cambios visuales inmediatos</t>
  </si>
  <si>
    <t>Menor flexibilidad para arquitecturas de backend complejas.</t>
  </si>
  <si>
    <t>Codeium</t>
  </si>
  <si>
    <t>Editor asistido con flujos Cascade e inspección contextual</t>
  </si>
  <si>
    <t>Diffs en pantalla limpios y análisis en tiempo real</t>
  </si>
  <si>
    <t>Excelente flujo de trabajo guiado y comprensión de intención</t>
  </si>
  <si>
    <t>Editor propietario.</t>
  </si>
  <si>
    <t>Vercel</t>
  </si>
  <si>
    <t>Generador de componentes de interfaz frontend</t>
  </si>
  <si>
    <t>React, Tailwind CSS y paquetes de npm</t>
  </si>
  <si>
    <t>El estándar de diseño rápido de componentes visuales</t>
  </si>
  <si>
    <t>Limitado al diseño de interfaz, no maneja lógica compleja.</t>
  </si>
  <si>
    <t>ZCode</t>
  </si>
  <si>
    <t>Z.ai / Zhipu AI</t>
  </si>
  <si>
    <t>ADE de escritorio completo con Goal Mode, navegador embebido y control remoto móvil</t>
  </si>
  <si>
    <t>Optimizado para GLM-5.3 con 1M contexto continuo</t>
  </si>
  <si>
    <t>Experiencia gráfica fluida diseñada para tareas largas sin consola</t>
  </si>
  <si>
    <t>Mejor rendimiento exclusivamente con modelos GLM.</t>
  </si>
  <si>
    <t>getpaseo</t>
  </si>
  <si>
    <t>Orquestación local de agentes paralelos con control remoto multiplataforma</t>
  </si>
  <si>
    <t>Interfaz web/móvil para comandar agentes CLI locales</t>
  </si>
  <si>
    <t>Permite supervisar agentes desde el smartphone o navegador</t>
  </si>
  <si>
    <t>Requiere configurar los agentes CLI locales por separado.</t>
  </si>
  <si>
    <t>Kimi Code</t>
  </si>
  <si>
    <t>Moonshot AI</t>
  </si>
  <si>
    <t>Arnés oficial de Moonshot para modelos Kimi K3 y K2.7 con 1M contexto</t>
  </si>
  <si>
    <t>Exploración de repositorios, planeación y depuración en CLI</t>
  </si>
  <si>
    <t>Gran comprensión de contexto largo para repositorios gigantes</t>
  </si>
  <si>
    <t>Menor ecosistema de herramientas comparado con OMP o OpenCode.</t>
  </si>
  <si>
    <t>Grok Build</t>
  </si>
  <si>
    <t>xAI / SpaceXAI</t>
  </si>
  <si>
    <t>Arnés en Rust de código abierto con TUI interactiva para Grok 4.6</t>
  </si>
  <si>
    <t>Soporte de protocolo ACP y revisión de código nativa</t>
  </si>
  <si>
    <t>Arnés de alto rendimiento escrito en Rust con TUI rica</t>
  </si>
  <si>
    <t>Ecosistema centrado en la API de xAI.</t>
  </si>
  <si>
    <t>Kilo Code</t>
  </si>
  <si>
    <t>Kilo-Org</t>
  </si>
  <si>
    <t>Agente multi-modo (Architect, Code, Debug, Orchestrator) para VS Code, JetBrains y CLI</t>
  </si>
  <si>
    <t>Integrado con OpenRouter (750k+ usuarios)</t>
  </si>
  <si>
    <t>Extremadamente versátil y compatible con múltiples editores y LLMs</t>
  </si>
  <si>
    <t>Requiere suscripción a OpenRouter o API keys propias.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</si>
</sst>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9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quotePrefix="1"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7608F"/>
          <bgColor rgb="FF37608F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8">
    <tableStyle count="3" pivot="0" name="2_Harnesses_CLI-style">
      <tableStyleElement dxfId="1" type="headerRow"/>
      <tableStyleElement dxfId="2" type="firstRowStripe"/>
      <tableStyleElement dxfId="3" type="secondRowStripe"/>
    </tableStyle>
    <tableStyle count="3" pivot="0" name="1_ADEs_Orquestadores-style">
      <tableStyleElement dxfId="1" type="headerRow"/>
      <tableStyleElement dxfId="2" type="firstRowStripe"/>
      <tableStyleElement dxfId="3" type="secondRowStripe"/>
    </tableStyle>
    <tableStyle count="3" pivot="0" name="4_Agentes_E2E_Cloud-style">
      <tableStyleElement dxfId="1" type="headerRow"/>
      <tableStyleElement dxfId="2" type="firstRowStripe"/>
      <tableStyleElement dxfId="3" type="secondRowStripe"/>
    </tableStyle>
    <tableStyle count="3" pivot="0" name="3_Agent_OS_Plataformas-style">
      <tableStyleElement dxfId="1" type="headerRow"/>
      <tableStyleElement dxfId="2" type="firstRowStripe"/>
      <tableStyleElement dxfId="3" type="secondRowStripe"/>
    </tableStyle>
    <tableStyle count="3" pivot="0" name="5_Agentic_IDEs-style">
      <tableStyleElement dxfId="1" type="headerRow"/>
      <tableStyleElement dxfId="2" type="firstRowStripe"/>
      <tableStyleElement dxfId="3" type="secondRowStripe"/>
    </tableStyle>
    <tableStyle count="3" pivot="0" name="6_Explicacion_Pedagogica-style">
      <tableStyleElement dxfId="1" type="headerRow"/>
      <tableStyleElement dxfId="2" type="firstRowStripe"/>
      <tableStyleElement dxfId="3" type="secondRowStripe"/>
    </tableStyle>
    <tableStyle count="3" pivot="0" name="7_Detalle_de_Medidas-style">
      <tableStyleElement dxfId="1" type="headerRow"/>
      <tableStyleElement dxfId="2" type="firstRowStripe"/>
      <tableStyleElement dxfId="3" type="secondRowStripe"/>
    </tableStyle>
    <tableStyle count="3" pivot="0" name="8_Capacidades_Ventajas_Desven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7" displayName="Table_1" name="Table_1" id="4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1_ADEs_Orquestadores-style" showColumnStripes="0" showFirstColumn="1" showLastColumn="1" showRowStripes="1"/>
</table>
</file>

<file path=xl/tables/table2.xml><?xml version="1.0" encoding="utf-8"?>
<table xmlns="http://schemas.openxmlformats.org/spreadsheetml/2006/main" ref="A1:J14" displayName="Table_2" name="Table_2" id="3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2_Harnesses_CLI-style" showColumnStripes="0" showFirstColumn="1" showLastColumn="1" showRowStripes="1"/>
</table>
</file>

<file path=xl/tables/table3.xml><?xml version="1.0" encoding="utf-8"?>
<table xmlns="http://schemas.openxmlformats.org/spreadsheetml/2006/main" ref="A1:J6" displayName="Table_4" name="Table_4" id="1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3_Agent_OS_Plataformas-style" showColumnStripes="0" showFirstColumn="1" showLastColumn="1" showRowStripes="1"/>
</table>
</file>

<file path=xl/tables/table4.xml><?xml version="1.0" encoding="utf-8"?>
<table xmlns="http://schemas.openxmlformats.org/spreadsheetml/2006/main" ref="A1:J5" displayName="Table_3" name="Table_3" id="2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4_Agentes_E2E_Cloud-style" showColumnStripes="0" showFirstColumn="1" showLastColumn="1" showRowStripes="1"/>
</table>
</file>

<file path=xl/tables/table5.xml><?xml version="1.0" encoding="utf-8"?>
<table xmlns="http://schemas.openxmlformats.org/spreadsheetml/2006/main" ref="A1:J9" displayName="Table_5" name="Table_5" id="5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5_Agentic_IDEs-style" showColumnStripes="0" showFirstColumn="1" showLastColumn="1" showRowStripes="1"/>
</table>
</file>

<file path=xl/tables/table6.xml><?xml version="1.0" encoding="utf-8"?>
<table xmlns="http://schemas.openxmlformats.org/spreadsheetml/2006/main" ref="A1:C10" displayName="Table_6" name="Table_6" id="6">
  <tableColumns count="3">
    <tableColumn name="Capa Arquitectónica" id="1"/>
    <tableColumn name="Descripción" id="2"/>
    <tableColumn name="Ejemplos" id="3"/>
  </tableColumns>
  <tableStyleInfo name="6_Explicacion_Pedagogica-style" showColumnStripes="0" showFirstColumn="1" showLastColumn="1" showRowStripes="1"/>
</table>
</file>

<file path=xl/tables/table7.xml><?xml version="1.0" encoding="utf-8"?>
<table xmlns="http://schemas.openxmlformats.org/spreadsheetml/2006/main" ref="A1:C10" displayName="Table_7" name="Table_7" id="7">
  <tableColumns count="3">
    <tableColumn name="Medida" id="1"/>
    <tableColumn name="Peso" id="2"/>
    <tableColumn name="Definición" id="3"/>
  </tableColumns>
  <tableStyleInfo name="7_Detalle_de_Medidas-style" showColumnStripes="0" showFirstColumn="1" showLastColumn="1" showRowStripes="1"/>
</table>
</file>

<file path=xl/tables/table8.xml><?xml version="1.0" encoding="utf-8"?>
<table xmlns="http://schemas.openxmlformats.org/spreadsheetml/2006/main" ref="A1:G37" displayName="Table_8" name="Table_8" id="8">
  <tableColumns count="7">
    <tableColumn name="Herramienta" id="1"/>
    <tableColumn name="Categoría" id="2"/>
    <tableColumn name="Desarrollador / Origen" id="3"/>
    <tableColumn name="Capacidades Principales" id="4"/>
    <tableColumn name="Características Clave" id="5"/>
    <tableColumn name="Ventajas Principales" id="6"/>
    <tableColumn name="Desventajas / Limitaciones" id="7"/>
  </tableColumns>
  <tableStyleInfo name="8_Capacidades_Ventajas_Desven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6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f t="shared" ref="A2:A7" si="1">ROW()-1</f>
        <v>1</v>
      </c>
      <c r="B2" s="3" t="s">
        <v>13</v>
      </c>
      <c r="C2" s="2">
        <v>9.2</v>
      </c>
      <c r="D2" s="2">
        <v>9.0</v>
      </c>
      <c r="E2" s="2">
        <v>9.4</v>
      </c>
      <c r="F2" s="2">
        <v>9.2</v>
      </c>
      <c r="G2" s="2">
        <v>9.5</v>
      </c>
      <c r="H2" s="2">
        <v>9.2</v>
      </c>
      <c r="I2" s="4">
        <f t="shared" ref="I2:I7" si="2">(C2*0.2)+(D2*0.15)+(E2*0.15)+(F2*0.15)+(G2*0.15)+(H2*0.2)</f>
        <v>9.245</v>
      </c>
      <c r="J2" s="3" t="s">
        <v>22</v>
      </c>
    </row>
    <row r="3">
      <c r="A3" s="2">
        <f t="shared" si="1"/>
        <v>2</v>
      </c>
      <c r="B3" s="3" t="s">
        <v>26</v>
      </c>
      <c r="C3" s="2">
        <v>8.2</v>
      </c>
      <c r="D3" s="2">
        <v>8.5</v>
      </c>
      <c r="E3" s="2">
        <v>7.8</v>
      </c>
      <c r="F3" s="2">
        <v>9.8</v>
      </c>
      <c r="G3" s="2">
        <v>9.6</v>
      </c>
      <c r="H3" s="2">
        <v>9.4</v>
      </c>
      <c r="I3" s="4">
        <f t="shared" si="2"/>
        <v>8.875</v>
      </c>
      <c r="J3" s="3" t="s">
        <v>32</v>
      </c>
    </row>
    <row r="4">
      <c r="A4" s="2">
        <f t="shared" si="1"/>
        <v>3</v>
      </c>
      <c r="B4" s="3" t="s">
        <v>35</v>
      </c>
      <c r="C4" s="2">
        <v>8.4</v>
      </c>
      <c r="D4" s="2">
        <v>8.8</v>
      </c>
      <c r="E4" s="2">
        <v>9.2</v>
      </c>
      <c r="F4" s="2">
        <v>8.8</v>
      </c>
      <c r="G4" s="2">
        <v>9.3</v>
      </c>
      <c r="H4" s="2">
        <v>8.5</v>
      </c>
      <c r="I4" s="4">
        <f t="shared" si="2"/>
        <v>8.795</v>
      </c>
      <c r="J4" s="3" t="s">
        <v>39</v>
      </c>
    </row>
    <row r="5">
      <c r="A5" s="2">
        <f t="shared" si="1"/>
        <v>4</v>
      </c>
      <c r="B5" s="3" t="s">
        <v>42</v>
      </c>
      <c r="C5" s="2">
        <v>8.5</v>
      </c>
      <c r="D5" s="2">
        <v>8.8</v>
      </c>
      <c r="E5" s="2">
        <v>8.0</v>
      </c>
      <c r="F5" s="2">
        <v>8.5</v>
      </c>
      <c r="G5" s="2">
        <v>9.0</v>
      </c>
      <c r="H5" s="2">
        <v>9.2</v>
      </c>
      <c r="I5" s="4">
        <f t="shared" si="2"/>
        <v>8.685</v>
      </c>
      <c r="J5" s="3" t="s">
        <v>44</v>
      </c>
    </row>
    <row r="6">
      <c r="A6" s="4">
        <f t="shared" si="1"/>
        <v>5</v>
      </c>
      <c r="B6" s="3" t="s">
        <v>46</v>
      </c>
      <c r="C6" s="2">
        <v>8.0</v>
      </c>
      <c r="D6" s="2">
        <v>8.5</v>
      </c>
      <c r="E6" s="2">
        <v>8.2</v>
      </c>
      <c r="F6" s="2">
        <v>8.8</v>
      </c>
      <c r="G6" s="2">
        <v>8.5</v>
      </c>
      <c r="H6" s="2">
        <v>8.6</v>
      </c>
      <c r="I6" s="4">
        <f t="shared" si="2"/>
        <v>8.42</v>
      </c>
      <c r="J6" s="3" t="s">
        <v>48</v>
      </c>
    </row>
    <row r="7">
      <c r="A7" s="4">
        <f t="shared" si="1"/>
        <v>6</v>
      </c>
      <c r="B7" s="3" t="s">
        <v>50</v>
      </c>
      <c r="C7" s="2">
        <v>8.5</v>
      </c>
      <c r="D7" s="2">
        <v>8.0</v>
      </c>
      <c r="E7" s="2">
        <v>7.6</v>
      </c>
      <c r="F7" s="2">
        <v>8.8</v>
      </c>
      <c r="G7" s="2">
        <v>9.0</v>
      </c>
      <c r="H7" s="2">
        <v>8.4</v>
      </c>
      <c r="I7" s="4">
        <f t="shared" si="2"/>
        <v>8.39</v>
      </c>
      <c r="J7" s="3" t="s">
        <v>52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8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f t="shared" ref="A2:A14" si="1">ROW()-1</f>
        <v>1</v>
      </c>
      <c r="B2" s="3" t="s">
        <v>12</v>
      </c>
      <c r="C2" s="2">
        <v>9.3</v>
      </c>
      <c r="D2" s="2">
        <v>8.4</v>
      </c>
      <c r="E2" s="2">
        <v>8.8</v>
      </c>
      <c r="F2" s="2">
        <v>8.0</v>
      </c>
      <c r="G2" s="2">
        <v>8.2</v>
      </c>
      <c r="H2" s="2">
        <v>9.6</v>
      </c>
      <c r="I2" s="4">
        <f t="shared" ref="I2:I14" si="2">(C2*0.2)+(D2*0.15)+(E2*0.15)+(F2*0.15)+(G2*0.15)+(H2*0.2)</f>
        <v>8.79</v>
      </c>
      <c r="J2" s="3" t="s">
        <v>17</v>
      </c>
    </row>
    <row r="3">
      <c r="A3" s="2">
        <f t="shared" si="1"/>
        <v>2</v>
      </c>
      <c r="B3" s="3" t="s">
        <v>18</v>
      </c>
      <c r="C3" s="2">
        <v>9.4</v>
      </c>
      <c r="D3" s="2">
        <v>8.8</v>
      </c>
      <c r="E3" s="2">
        <v>8.0</v>
      </c>
      <c r="F3" s="2">
        <v>8.8</v>
      </c>
      <c r="G3" s="2">
        <v>8.2</v>
      </c>
      <c r="H3" s="2">
        <v>9.2</v>
      </c>
      <c r="I3" s="4">
        <f t="shared" si="2"/>
        <v>8.79</v>
      </c>
      <c r="J3" s="3" t="s">
        <v>28</v>
      </c>
    </row>
    <row r="4">
      <c r="A4" s="2">
        <f t="shared" si="1"/>
        <v>3</v>
      </c>
      <c r="B4" s="3" t="s">
        <v>29</v>
      </c>
      <c r="C4" s="2">
        <v>9.6</v>
      </c>
      <c r="D4" s="2">
        <v>8.8</v>
      </c>
      <c r="E4" s="2">
        <v>8.2</v>
      </c>
      <c r="F4" s="2">
        <v>8.0</v>
      </c>
      <c r="G4" s="2">
        <v>8.0</v>
      </c>
      <c r="H4" s="2">
        <v>9.5</v>
      </c>
      <c r="I4" s="4">
        <f t="shared" si="2"/>
        <v>8.77</v>
      </c>
      <c r="J4" s="3" t="s">
        <v>34</v>
      </c>
    </row>
    <row r="5">
      <c r="A5" s="2">
        <f t="shared" si="1"/>
        <v>4</v>
      </c>
      <c r="B5" s="3" t="s">
        <v>36</v>
      </c>
      <c r="C5" s="2">
        <v>8.8</v>
      </c>
      <c r="D5" s="2">
        <v>8.6</v>
      </c>
      <c r="E5" s="2">
        <v>9.0</v>
      </c>
      <c r="F5" s="2">
        <v>8.5</v>
      </c>
      <c r="G5" s="2">
        <v>6.5</v>
      </c>
      <c r="H5" s="2">
        <v>9.8</v>
      </c>
      <c r="I5" s="4">
        <f t="shared" si="2"/>
        <v>8.61</v>
      </c>
      <c r="J5" s="3" t="s">
        <v>40</v>
      </c>
    </row>
    <row r="6">
      <c r="A6" s="2">
        <f t="shared" si="1"/>
        <v>5</v>
      </c>
      <c r="B6" s="3" t="s">
        <v>43</v>
      </c>
      <c r="C6" s="2">
        <v>9.1</v>
      </c>
      <c r="D6" s="2">
        <v>9.8</v>
      </c>
      <c r="E6" s="2">
        <v>7.8</v>
      </c>
      <c r="F6" s="2">
        <v>7.8</v>
      </c>
      <c r="G6" s="2">
        <v>6.5</v>
      </c>
      <c r="H6" s="2">
        <v>9.0</v>
      </c>
      <c r="I6" s="4">
        <f t="shared" si="2"/>
        <v>8.405</v>
      </c>
      <c r="J6" s="3" t="s">
        <v>45</v>
      </c>
    </row>
    <row r="7">
      <c r="A7" s="2">
        <f t="shared" si="1"/>
        <v>6</v>
      </c>
      <c r="B7" s="3" t="s">
        <v>47</v>
      </c>
      <c r="C7" s="2">
        <v>8.9</v>
      </c>
      <c r="D7" s="2">
        <v>8.5</v>
      </c>
      <c r="E7" s="2">
        <v>8.8</v>
      </c>
      <c r="F7" s="2">
        <v>7.8</v>
      </c>
      <c r="G7" s="2">
        <v>7.2</v>
      </c>
      <c r="H7" s="2">
        <v>8.8</v>
      </c>
      <c r="I7" s="4">
        <f t="shared" si="2"/>
        <v>8.385</v>
      </c>
      <c r="J7" s="3" t="s">
        <v>49</v>
      </c>
    </row>
    <row r="8">
      <c r="A8" s="2">
        <f t="shared" si="1"/>
        <v>7</v>
      </c>
      <c r="B8" s="3" t="s">
        <v>51</v>
      </c>
      <c r="C8" s="2">
        <v>8.7</v>
      </c>
      <c r="D8" s="2">
        <v>8.0</v>
      </c>
      <c r="E8" s="2">
        <v>9.9</v>
      </c>
      <c r="F8" s="2">
        <v>8.0</v>
      </c>
      <c r="G8" s="2">
        <v>7.0</v>
      </c>
      <c r="H8" s="2">
        <v>8.2</v>
      </c>
      <c r="I8" s="4">
        <f t="shared" si="2"/>
        <v>8.315</v>
      </c>
      <c r="J8" s="3" t="s">
        <v>53</v>
      </c>
    </row>
    <row r="9">
      <c r="A9" s="2">
        <f t="shared" si="1"/>
        <v>8</v>
      </c>
      <c r="B9" s="3" t="s">
        <v>54</v>
      </c>
      <c r="C9" s="2">
        <v>9.0</v>
      </c>
      <c r="D9" s="2">
        <v>8.2</v>
      </c>
      <c r="E9" s="2">
        <v>8.0</v>
      </c>
      <c r="F9" s="2">
        <v>8.0</v>
      </c>
      <c r="G9" s="2">
        <v>7.5</v>
      </c>
      <c r="H9" s="2">
        <v>8.2</v>
      </c>
      <c r="I9" s="4">
        <f t="shared" si="2"/>
        <v>8.195</v>
      </c>
      <c r="J9" s="3" t="s">
        <v>55</v>
      </c>
    </row>
    <row r="10">
      <c r="A10" s="2">
        <f t="shared" si="1"/>
        <v>9</v>
      </c>
      <c r="B10" s="3" t="s">
        <v>56</v>
      </c>
      <c r="C10" s="2">
        <v>8.8</v>
      </c>
      <c r="D10" s="2">
        <v>7.8</v>
      </c>
      <c r="E10" s="2">
        <v>8.5</v>
      </c>
      <c r="F10" s="2">
        <v>7.5</v>
      </c>
      <c r="G10" s="2">
        <v>6.0</v>
      </c>
      <c r="H10" s="2">
        <v>9.6</v>
      </c>
      <c r="I10" s="4">
        <f t="shared" si="2"/>
        <v>8.15</v>
      </c>
      <c r="J10" s="3" t="s">
        <v>57</v>
      </c>
    </row>
    <row r="11">
      <c r="A11" s="2">
        <f t="shared" si="1"/>
        <v>10</v>
      </c>
      <c r="B11" s="3" t="s">
        <v>58</v>
      </c>
      <c r="C11" s="2">
        <v>8.9</v>
      </c>
      <c r="D11" s="2">
        <v>7.5</v>
      </c>
      <c r="E11" s="2">
        <v>8.8</v>
      </c>
      <c r="F11" s="2">
        <v>8.0</v>
      </c>
      <c r="G11" s="2">
        <v>5.5</v>
      </c>
      <c r="H11" s="2">
        <v>8.8</v>
      </c>
      <c r="I11" s="4">
        <f t="shared" si="2"/>
        <v>8.01</v>
      </c>
      <c r="J11" s="3" t="s">
        <v>59</v>
      </c>
    </row>
    <row r="12">
      <c r="A12" s="2">
        <f t="shared" si="1"/>
        <v>11</v>
      </c>
      <c r="B12" s="3" t="s">
        <v>60</v>
      </c>
      <c r="C12" s="2">
        <v>9.0</v>
      </c>
      <c r="D12" s="2">
        <v>8.2</v>
      </c>
      <c r="E12" s="2">
        <v>9.5</v>
      </c>
      <c r="F12" s="2">
        <v>7.0</v>
      </c>
      <c r="G12" s="2">
        <v>6.0</v>
      </c>
      <c r="H12" s="2">
        <v>7.5</v>
      </c>
      <c r="I12" s="4">
        <f t="shared" si="2"/>
        <v>7.905</v>
      </c>
      <c r="J12" s="3" t="s">
        <v>61</v>
      </c>
    </row>
    <row r="13">
      <c r="A13" s="4">
        <f t="shared" si="1"/>
        <v>12</v>
      </c>
      <c r="B13" s="3" t="s">
        <v>62</v>
      </c>
      <c r="C13" s="2">
        <v>8.8</v>
      </c>
      <c r="D13" s="2">
        <v>7.8</v>
      </c>
      <c r="E13" s="2">
        <v>8.5</v>
      </c>
      <c r="F13" s="2">
        <v>7.5</v>
      </c>
      <c r="G13" s="2">
        <v>6.0</v>
      </c>
      <c r="H13" s="2">
        <v>6.8</v>
      </c>
      <c r="I13" s="4">
        <f t="shared" si="2"/>
        <v>7.59</v>
      </c>
      <c r="J13" s="3" t="s">
        <v>63</v>
      </c>
    </row>
    <row r="14">
      <c r="A14" s="4">
        <f t="shared" si="1"/>
        <v>13</v>
      </c>
      <c r="B14" s="3" t="s">
        <v>64</v>
      </c>
      <c r="C14" s="2">
        <v>9.6</v>
      </c>
      <c r="D14" s="2">
        <v>8.0</v>
      </c>
      <c r="E14" s="2">
        <v>6.8</v>
      </c>
      <c r="F14" s="2">
        <v>6.5</v>
      </c>
      <c r="G14" s="2">
        <v>5.0</v>
      </c>
      <c r="H14" s="2">
        <v>8.5</v>
      </c>
      <c r="I14" s="4">
        <f t="shared" si="2"/>
        <v>7.565</v>
      </c>
      <c r="J14" s="3" t="s">
        <v>65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1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f t="shared" ref="A2:A6" si="1">ROW()-1</f>
        <v>1</v>
      </c>
      <c r="B2" s="3" t="s">
        <v>11</v>
      </c>
      <c r="C2" s="2">
        <v>8.4</v>
      </c>
      <c r="D2" s="2">
        <v>9.6</v>
      </c>
      <c r="E2" s="2">
        <v>9.3</v>
      </c>
      <c r="F2" s="2">
        <v>9.0</v>
      </c>
      <c r="G2" s="2">
        <v>9.2</v>
      </c>
      <c r="H2" s="2">
        <v>9.7</v>
      </c>
      <c r="I2" s="4">
        <f t="shared" ref="I2:I6" si="2">(C2*0.2)+(D2*0.15)+(E2*0.15)+(F2*0.15)+(G2*0.15)+(H2*0.2)</f>
        <v>9.185</v>
      </c>
      <c r="J2" s="3" t="s">
        <v>16</v>
      </c>
    </row>
    <row r="3">
      <c r="A3" s="2">
        <f t="shared" si="1"/>
        <v>2</v>
      </c>
      <c r="B3" s="3" t="s">
        <v>19</v>
      </c>
      <c r="C3" s="2">
        <v>8.2</v>
      </c>
      <c r="D3" s="2">
        <v>8.5</v>
      </c>
      <c r="E3" s="2">
        <v>8.2</v>
      </c>
      <c r="F3" s="2">
        <v>8.2</v>
      </c>
      <c r="G3" s="2">
        <v>8.8</v>
      </c>
      <c r="H3" s="2">
        <v>9.8</v>
      </c>
      <c r="I3" s="4">
        <f t="shared" si="2"/>
        <v>8.655</v>
      </c>
      <c r="J3" s="3" t="s">
        <v>23</v>
      </c>
    </row>
    <row r="4">
      <c r="A4" s="2">
        <f t="shared" si="1"/>
        <v>3</v>
      </c>
      <c r="B4" s="3" t="s">
        <v>24</v>
      </c>
      <c r="C4" s="2">
        <v>8.0</v>
      </c>
      <c r="D4" s="2">
        <v>8.4</v>
      </c>
      <c r="E4" s="2">
        <v>8.6</v>
      </c>
      <c r="F4" s="2">
        <v>8.2</v>
      </c>
      <c r="G4" s="2">
        <v>9.2</v>
      </c>
      <c r="H4" s="2">
        <v>9.2</v>
      </c>
      <c r="I4" s="4">
        <f t="shared" si="2"/>
        <v>8.6</v>
      </c>
      <c r="J4" s="3" t="s">
        <v>30</v>
      </c>
    </row>
    <row r="5">
      <c r="A5" s="2">
        <f t="shared" si="1"/>
        <v>4</v>
      </c>
      <c r="B5" s="3" t="s">
        <v>31</v>
      </c>
      <c r="C5" s="2">
        <v>8.3</v>
      </c>
      <c r="D5" s="2">
        <v>9.0</v>
      </c>
      <c r="E5" s="2">
        <v>8.4</v>
      </c>
      <c r="F5" s="2">
        <v>8.0</v>
      </c>
      <c r="G5" s="2">
        <v>6.8</v>
      </c>
      <c r="H5" s="2">
        <v>9.4</v>
      </c>
      <c r="I5" s="4">
        <f t="shared" si="2"/>
        <v>8.37</v>
      </c>
      <c r="J5" s="3" t="s">
        <v>37</v>
      </c>
    </row>
    <row r="6">
      <c r="A6" s="2">
        <f t="shared" si="1"/>
        <v>5</v>
      </c>
      <c r="B6" s="3" t="s">
        <v>38</v>
      </c>
      <c r="C6" s="2">
        <v>8.2</v>
      </c>
      <c r="D6" s="2">
        <v>8.0</v>
      </c>
      <c r="E6" s="2">
        <v>8.4</v>
      </c>
      <c r="F6" s="2">
        <v>7.8</v>
      </c>
      <c r="G6" s="2">
        <v>7.2</v>
      </c>
      <c r="H6" s="2">
        <v>9.2</v>
      </c>
      <c r="I6" s="4">
        <f t="shared" si="2"/>
        <v>8.19</v>
      </c>
      <c r="J6" s="3" t="s">
        <v>41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63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f t="shared" ref="A2:A5" si="1">ROW()-1</f>
        <v>1</v>
      </c>
      <c r="B2" s="3" t="s">
        <v>10</v>
      </c>
      <c r="C2" s="2">
        <v>8.6</v>
      </c>
      <c r="D2" s="2">
        <v>9.8</v>
      </c>
      <c r="E2" s="2">
        <v>7.0</v>
      </c>
      <c r="F2" s="2">
        <v>9.8</v>
      </c>
      <c r="G2" s="2">
        <v>9.4</v>
      </c>
      <c r="H2" s="2">
        <v>8.8</v>
      </c>
      <c r="I2" s="4">
        <f t="shared" ref="I2:I5" si="2">(C2*0.2)+(D2*0.15)+(E2*0.15)+(F2*0.15)+(G2*0.15)+(H2*0.2)</f>
        <v>8.88</v>
      </c>
      <c r="J2" s="3" t="s">
        <v>14</v>
      </c>
    </row>
    <row r="3">
      <c r="A3" s="2">
        <f t="shared" si="1"/>
        <v>2</v>
      </c>
      <c r="B3" s="3" t="s">
        <v>15</v>
      </c>
      <c r="C3" s="2">
        <v>8.6</v>
      </c>
      <c r="D3" s="2">
        <v>9.0</v>
      </c>
      <c r="E3" s="2">
        <v>7.2</v>
      </c>
      <c r="F3" s="2">
        <v>9.2</v>
      </c>
      <c r="G3" s="2">
        <v>8.0</v>
      </c>
      <c r="H3" s="2">
        <v>9.4</v>
      </c>
      <c r="I3" s="4">
        <f t="shared" si="2"/>
        <v>8.61</v>
      </c>
      <c r="J3" s="3" t="s">
        <v>20</v>
      </c>
    </row>
    <row r="4">
      <c r="A4" s="2">
        <f t="shared" si="1"/>
        <v>3</v>
      </c>
      <c r="B4" s="3" t="s">
        <v>21</v>
      </c>
      <c r="C4" s="2">
        <v>7.8</v>
      </c>
      <c r="D4" s="2">
        <v>9.2</v>
      </c>
      <c r="E4" s="2">
        <v>8.5</v>
      </c>
      <c r="F4" s="2">
        <v>8.8</v>
      </c>
      <c r="G4" s="2">
        <v>9.0</v>
      </c>
      <c r="H4" s="2">
        <v>8.6</v>
      </c>
      <c r="I4" s="4">
        <f t="shared" si="2"/>
        <v>8.605</v>
      </c>
      <c r="J4" s="3" t="s">
        <v>25</v>
      </c>
    </row>
    <row r="5">
      <c r="A5" s="2">
        <f t="shared" si="1"/>
        <v>4</v>
      </c>
      <c r="B5" s="3" t="s">
        <v>27</v>
      </c>
      <c r="C5" s="2">
        <v>8.9</v>
      </c>
      <c r="D5" s="2">
        <v>9.5</v>
      </c>
      <c r="E5" s="2">
        <v>6.5</v>
      </c>
      <c r="F5" s="2">
        <v>9.5</v>
      </c>
      <c r="G5" s="2">
        <v>8.6</v>
      </c>
      <c r="H5" s="2">
        <v>7.0</v>
      </c>
      <c r="I5" s="4">
        <f t="shared" si="2"/>
        <v>8.295</v>
      </c>
      <c r="J5" s="3" t="s">
        <v>33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8.13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f t="shared" ref="A2:A9" si="1">ROW()-1</f>
        <v>1</v>
      </c>
      <c r="B2" s="3" t="s">
        <v>66</v>
      </c>
      <c r="C2" s="2">
        <v>8.9</v>
      </c>
      <c r="D2" s="2">
        <v>8.2</v>
      </c>
      <c r="E2" s="2">
        <v>8.4</v>
      </c>
      <c r="F2" s="2">
        <v>7.8</v>
      </c>
      <c r="G2" s="2">
        <v>9.2</v>
      </c>
      <c r="H2" s="2">
        <v>9.5</v>
      </c>
      <c r="I2" s="4">
        <f t="shared" ref="I2:I9" si="2">(C2*0.2)+(D2*0.15)+(E2*0.15)+(F2*0.15)+(G2*0.15)+(H2*0.2)</f>
        <v>8.72</v>
      </c>
      <c r="J2" s="3" t="s">
        <v>67</v>
      </c>
    </row>
    <row r="3">
      <c r="A3" s="2">
        <f t="shared" si="1"/>
        <v>2</v>
      </c>
      <c r="B3" s="3" t="s">
        <v>68</v>
      </c>
      <c r="C3" s="2">
        <v>8.9</v>
      </c>
      <c r="D3" s="2">
        <v>8.0</v>
      </c>
      <c r="E3" s="2">
        <v>8.2</v>
      </c>
      <c r="F3" s="2">
        <v>7.5</v>
      </c>
      <c r="G3" s="2">
        <v>9.2</v>
      </c>
      <c r="H3" s="2">
        <v>9.6</v>
      </c>
      <c r="I3" s="4">
        <f t="shared" si="2"/>
        <v>8.635</v>
      </c>
      <c r="J3" s="3" t="s">
        <v>69</v>
      </c>
    </row>
    <row r="4">
      <c r="A4" s="2">
        <f t="shared" si="1"/>
        <v>3</v>
      </c>
      <c r="B4" s="3" t="s">
        <v>70</v>
      </c>
      <c r="C4" s="2">
        <v>8.2</v>
      </c>
      <c r="D4" s="2">
        <v>8.0</v>
      </c>
      <c r="E4" s="2">
        <v>9.6</v>
      </c>
      <c r="F4" s="2">
        <v>7.5</v>
      </c>
      <c r="G4" s="2">
        <v>9.7</v>
      </c>
      <c r="H4" s="2">
        <v>7.8</v>
      </c>
      <c r="I4" s="4">
        <f t="shared" si="2"/>
        <v>8.42</v>
      </c>
      <c r="J4" s="3" t="s">
        <v>71</v>
      </c>
    </row>
    <row r="5">
      <c r="A5" s="2">
        <f t="shared" si="1"/>
        <v>4</v>
      </c>
      <c r="B5" s="3" t="s">
        <v>72</v>
      </c>
      <c r="C5" s="2">
        <v>8.8</v>
      </c>
      <c r="D5" s="2">
        <v>7.5</v>
      </c>
      <c r="E5" s="2">
        <v>7.8</v>
      </c>
      <c r="F5" s="2">
        <v>7.2</v>
      </c>
      <c r="G5" s="2">
        <v>9.6</v>
      </c>
      <c r="H5" s="2">
        <v>9.0</v>
      </c>
      <c r="I5" s="4">
        <f t="shared" si="2"/>
        <v>8.375</v>
      </c>
      <c r="J5" s="3" t="s">
        <v>73</v>
      </c>
    </row>
    <row r="6">
      <c r="A6" s="2">
        <f t="shared" si="1"/>
        <v>5</v>
      </c>
      <c r="B6" s="3" t="s">
        <v>74</v>
      </c>
      <c r="C6" s="2">
        <v>8.0</v>
      </c>
      <c r="D6" s="2">
        <v>7.6</v>
      </c>
      <c r="E6" s="2">
        <v>8.2</v>
      </c>
      <c r="F6" s="2">
        <v>8.8</v>
      </c>
      <c r="G6" s="2">
        <v>9.7</v>
      </c>
      <c r="H6" s="2">
        <v>8.0</v>
      </c>
      <c r="I6" s="4">
        <f t="shared" si="2"/>
        <v>8.345</v>
      </c>
      <c r="J6" s="3" t="s">
        <v>75</v>
      </c>
    </row>
    <row r="7">
      <c r="A7" s="2">
        <f t="shared" si="1"/>
        <v>6</v>
      </c>
      <c r="B7" s="3" t="s">
        <v>77</v>
      </c>
      <c r="C7" s="2">
        <v>7.9</v>
      </c>
      <c r="D7" s="2">
        <v>7.5</v>
      </c>
      <c r="E7" s="2">
        <v>8.0</v>
      </c>
      <c r="F7" s="2">
        <v>8.2</v>
      </c>
      <c r="G7" s="2">
        <v>9.8</v>
      </c>
      <c r="H7" s="2">
        <v>8.2</v>
      </c>
      <c r="I7" s="4">
        <f t="shared" si="2"/>
        <v>8.245</v>
      </c>
      <c r="J7" s="3" t="s">
        <v>80</v>
      </c>
    </row>
    <row r="8">
      <c r="A8" s="2">
        <f t="shared" si="1"/>
        <v>7</v>
      </c>
      <c r="B8" s="3" t="s">
        <v>82</v>
      </c>
      <c r="C8" s="2">
        <v>8.6</v>
      </c>
      <c r="D8" s="2">
        <v>7.4</v>
      </c>
      <c r="E8" s="2">
        <v>7.8</v>
      </c>
      <c r="F8" s="2">
        <v>7.0</v>
      </c>
      <c r="G8" s="2">
        <v>9.5</v>
      </c>
      <c r="H8" s="2">
        <v>8.6</v>
      </c>
      <c r="I8" s="4">
        <f t="shared" si="2"/>
        <v>8.195</v>
      </c>
      <c r="J8" s="3" t="s">
        <v>85</v>
      </c>
    </row>
    <row r="9">
      <c r="A9" s="4">
        <f t="shared" si="1"/>
        <v>8</v>
      </c>
      <c r="B9" s="3" t="s">
        <v>88</v>
      </c>
      <c r="C9" s="2">
        <v>7.5</v>
      </c>
      <c r="D9" s="2">
        <v>6.5</v>
      </c>
      <c r="E9" s="2">
        <v>8.0</v>
      </c>
      <c r="F9" s="2">
        <v>7.0</v>
      </c>
      <c r="G9" s="2">
        <v>9.9</v>
      </c>
      <c r="H9" s="2">
        <v>7.0</v>
      </c>
      <c r="I9" s="4">
        <f t="shared" si="2"/>
        <v>7.61</v>
      </c>
      <c r="J9" s="3" t="s">
        <v>95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3.0"/>
    <col customWidth="1" min="3" max="3" width="12.25"/>
  </cols>
  <sheetData>
    <row r="1">
      <c r="A1" s="1" t="s">
        <v>76</v>
      </c>
      <c r="B1" s="1" t="s">
        <v>78</v>
      </c>
      <c r="C1" s="1" t="s">
        <v>79</v>
      </c>
    </row>
    <row r="2">
      <c r="A2" s="5" t="s">
        <v>81</v>
      </c>
      <c r="B2" s="5" t="s">
        <v>83</v>
      </c>
      <c r="C2" s="5" t="s">
        <v>84</v>
      </c>
    </row>
    <row r="3">
      <c r="A3" s="5" t="s">
        <v>86</v>
      </c>
      <c r="B3" s="5" t="s">
        <v>87</v>
      </c>
      <c r="C3" s="5" t="s">
        <v>89</v>
      </c>
    </row>
    <row r="4">
      <c r="A4" s="5" t="s">
        <v>90</v>
      </c>
      <c r="B4" s="5" t="s">
        <v>91</v>
      </c>
      <c r="C4" s="5" t="s">
        <v>92</v>
      </c>
    </row>
    <row r="5">
      <c r="A5" s="5" t="s">
        <v>93</v>
      </c>
      <c r="B5" s="5" t="s">
        <v>94</v>
      </c>
      <c r="C5" s="5" t="s">
        <v>96</v>
      </c>
    </row>
    <row r="6">
      <c r="A6" s="5" t="s">
        <v>97</v>
      </c>
      <c r="B6" s="5" t="s">
        <v>98</v>
      </c>
      <c r="C6" s="5" t="s">
        <v>99</v>
      </c>
    </row>
    <row r="7">
      <c r="A7" s="3" t="s">
        <v>101</v>
      </c>
      <c r="B7" s="3" t="s">
        <v>103</v>
      </c>
      <c r="C7" s="3" t="s">
        <v>105</v>
      </c>
    </row>
    <row r="8">
      <c r="A8" s="3" t="s">
        <v>106</v>
      </c>
      <c r="B8" s="3" t="s">
        <v>107</v>
      </c>
      <c r="C8" s="3" t="s">
        <v>109</v>
      </c>
    </row>
    <row r="9">
      <c r="A9" s="3" t="s">
        <v>110</v>
      </c>
      <c r="B9" s="3" t="s">
        <v>111</v>
      </c>
      <c r="C9" s="3" t="s">
        <v>109</v>
      </c>
    </row>
    <row r="10">
      <c r="A10" s="3" t="s">
        <v>112</v>
      </c>
      <c r="B10" s="3" t="s">
        <v>67</v>
      </c>
      <c r="C10" s="3" t="s">
        <v>113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.0"/>
    <col customWidth="1" min="3" max="3" width="13.0"/>
  </cols>
  <sheetData>
    <row r="1">
      <c r="A1" s="1" t="s">
        <v>100</v>
      </c>
      <c r="B1" s="1" t="s">
        <v>102</v>
      </c>
      <c r="C1" s="1" t="s">
        <v>104</v>
      </c>
    </row>
    <row r="2">
      <c r="A2" s="5" t="s">
        <v>108</v>
      </c>
      <c r="B2" s="6">
        <v>0.2</v>
      </c>
      <c r="C2" s="5" t="s">
        <v>114</v>
      </c>
    </row>
    <row r="3">
      <c r="A3" s="5" t="s">
        <v>115</v>
      </c>
      <c r="B3" s="6">
        <v>0.15</v>
      </c>
      <c r="C3" s="5" t="s">
        <v>116</v>
      </c>
    </row>
    <row r="4">
      <c r="A4" s="5" t="s">
        <v>117</v>
      </c>
      <c r="B4" s="6">
        <v>0.15</v>
      </c>
      <c r="C4" s="5" t="s">
        <v>118</v>
      </c>
    </row>
    <row r="5">
      <c r="A5" s="5" t="s">
        <v>119</v>
      </c>
      <c r="B5" s="6">
        <v>0.15</v>
      </c>
      <c r="C5" s="5" t="s">
        <v>120</v>
      </c>
    </row>
    <row r="6">
      <c r="A6" s="5" t="s">
        <v>121</v>
      </c>
      <c r="B6" s="6">
        <v>0.15</v>
      </c>
      <c r="C6" s="5" t="s">
        <v>122</v>
      </c>
    </row>
    <row r="7">
      <c r="A7" s="5" t="s">
        <v>123</v>
      </c>
      <c r="B7" s="6">
        <v>0.2</v>
      </c>
      <c r="C7" s="5" t="s">
        <v>124</v>
      </c>
    </row>
    <row r="8">
      <c r="A8" s="7"/>
      <c r="B8" s="7"/>
      <c r="C8" s="5"/>
    </row>
    <row r="9">
      <c r="A9" s="5" t="s">
        <v>128</v>
      </c>
      <c r="B9" s="7"/>
      <c r="C9" s="8" t="s">
        <v>130</v>
      </c>
    </row>
    <row r="10">
      <c r="A10" s="5" t="s">
        <v>133</v>
      </c>
      <c r="B10" s="7"/>
      <c r="C10" s="5" t="s">
        <v>134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1.13"/>
    <col customWidth="1" min="3" max="3" width="18.75"/>
    <col customWidth="1" min="4" max="4" width="20.75"/>
    <col customWidth="1" min="5" max="5" width="18.0"/>
    <col customWidth="1" min="6" max="6" width="17.38"/>
    <col customWidth="1" min="7" max="7" width="22.63"/>
  </cols>
  <sheetData>
    <row r="1">
      <c r="A1" s="1" t="s">
        <v>1</v>
      </c>
      <c r="B1" s="1" t="s">
        <v>125</v>
      </c>
      <c r="C1" s="1" t="s">
        <v>126</v>
      </c>
      <c r="D1" s="1" t="s">
        <v>127</v>
      </c>
      <c r="E1" s="1" t="s">
        <v>129</v>
      </c>
      <c r="F1" s="1" t="s">
        <v>131</v>
      </c>
      <c r="G1" s="1" t="s">
        <v>132</v>
      </c>
    </row>
    <row r="2">
      <c r="A2" s="5" t="s">
        <v>13</v>
      </c>
      <c r="B2" s="5" t="s">
        <v>135</v>
      </c>
      <c r="C2" s="5" t="s">
        <v>136</v>
      </c>
      <c r="D2" s="5" t="s">
        <v>137</v>
      </c>
      <c r="E2" s="5" t="s">
        <v>138</v>
      </c>
      <c r="F2" s="5" t="s">
        <v>139</v>
      </c>
      <c r="G2" s="5" t="s">
        <v>140</v>
      </c>
    </row>
    <row r="3">
      <c r="A3" s="5" t="s">
        <v>26</v>
      </c>
      <c r="B3" s="5" t="s">
        <v>135</v>
      </c>
      <c r="C3" s="5" t="s">
        <v>141</v>
      </c>
      <c r="D3" s="5" t="s">
        <v>142</v>
      </c>
      <c r="E3" s="5" t="s">
        <v>143</v>
      </c>
      <c r="F3" s="5" t="s">
        <v>144</v>
      </c>
      <c r="G3" s="5" t="s">
        <v>145</v>
      </c>
    </row>
    <row r="4">
      <c r="A4" s="5" t="s">
        <v>42</v>
      </c>
      <c r="B4" s="5" t="s">
        <v>135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</row>
    <row r="5">
      <c r="A5" s="5" t="s">
        <v>50</v>
      </c>
      <c r="B5" s="5" t="s">
        <v>135</v>
      </c>
      <c r="C5" s="5" t="s">
        <v>151</v>
      </c>
      <c r="D5" s="5" t="s">
        <v>152</v>
      </c>
      <c r="E5" s="5" t="s">
        <v>153</v>
      </c>
      <c r="F5" s="5" t="s">
        <v>154</v>
      </c>
      <c r="G5" s="5" t="s">
        <v>155</v>
      </c>
    </row>
    <row r="6">
      <c r="A6" s="5" t="s">
        <v>12</v>
      </c>
      <c r="B6" s="5" t="s">
        <v>156</v>
      </c>
      <c r="C6" s="5" t="s">
        <v>157</v>
      </c>
      <c r="D6" s="5" t="s">
        <v>158</v>
      </c>
      <c r="E6" s="5" t="s">
        <v>159</v>
      </c>
      <c r="F6" s="5" t="s">
        <v>160</v>
      </c>
      <c r="G6" s="5" t="s">
        <v>161</v>
      </c>
    </row>
    <row r="7">
      <c r="A7" s="5" t="s">
        <v>18</v>
      </c>
      <c r="B7" s="5" t="s">
        <v>156</v>
      </c>
      <c r="C7" s="5" t="s">
        <v>162</v>
      </c>
      <c r="D7" s="5" t="s">
        <v>28</v>
      </c>
      <c r="E7" s="5" t="s">
        <v>163</v>
      </c>
      <c r="F7" s="5" t="s">
        <v>164</v>
      </c>
      <c r="G7" s="5" t="s">
        <v>165</v>
      </c>
    </row>
    <row r="8">
      <c r="A8" s="5" t="s">
        <v>29</v>
      </c>
      <c r="B8" s="5" t="s">
        <v>156</v>
      </c>
      <c r="C8" s="5" t="s">
        <v>166</v>
      </c>
      <c r="D8" s="5" t="s">
        <v>167</v>
      </c>
      <c r="E8" s="5" t="s">
        <v>168</v>
      </c>
      <c r="F8" s="5" t="s">
        <v>169</v>
      </c>
      <c r="G8" s="5" t="s">
        <v>170</v>
      </c>
    </row>
    <row r="9">
      <c r="A9" s="5" t="s">
        <v>36</v>
      </c>
      <c r="B9" s="5" t="s">
        <v>171</v>
      </c>
      <c r="C9" s="5" t="s">
        <v>172</v>
      </c>
      <c r="D9" s="5" t="s">
        <v>173</v>
      </c>
      <c r="E9" s="5" t="s">
        <v>174</v>
      </c>
      <c r="F9" s="5" t="s">
        <v>175</v>
      </c>
      <c r="G9" s="5" t="s">
        <v>176</v>
      </c>
    </row>
    <row r="10">
      <c r="A10" s="5" t="s">
        <v>43</v>
      </c>
      <c r="B10" s="5" t="s">
        <v>156</v>
      </c>
      <c r="C10" s="5" t="s">
        <v>177</v>
      </c>
      <c r="D10" s="5" t="s">
        <v>178</v>
      </c>
      <c r="E10" s="5" t="s">
        <v>179</v>
      </c>
      <c r="F10" s="5" t="s">
        <v>180</v>
      </c>
      <c r="G10" s="5" t="s">
        <v>181</v>
      </c>
    </row>
    <row r="11">
      <c r="A11" s="5" t="s">
        <v>51</v>
      </c>
      <c r="B11" s="5" t="s">
        <v>156</v>
      </c>
      <c r="C11" s="5" t="s">
        <v>182</v>
      </c>
      <c r="D11" s="5" t="s">
        <v>183</v>
      </c>
      <c r="E11" s="5" t="s">
        <v>184</v>
      </c>
      <c r="F11" s="5" t="s">
        <v>185</v>
      </c>
      <c r="G11" s="5" t="s">
        <v>186</v>
      </c>
    </row>
    <row r="12">
      <c r="A12" s="5" t="s">
        <v>56</v>
      </c>
      <c r="B12" s="5" t="s">
        <v>156</v>
      </c>
      <c r="C12" s="5" t="s">
        <v>187</v>
      </c>
      <c r="D12" s="5" t="s">
        <v>188</v>
      </c>
      <c r="E12" s="5" t="s">
        <v>189</v>
      </c>
      <c r="F12" s="5" t="s">
        <v>190</v>
      </c>
      <c r="G12" s="5" t="s">
        <v>191</v>
      </c>
    </row>
    <row r="13">
      <c r="A13" s="5" t="s">
        <v>58</v>
      </c>
      <c r="B13" s="5" t="s">
        <v>156</v>
      </c>
      <c r="C13" s="5" t="s">
        <v>192</v>
      </c>
      <c r="D13" s="5" t="s">
        <v>193</v>
      </c>
      <c r="E13" s="5" t="s">
        <v>194</v>
      </c>
      <c r="F13" s="5" t="s">
        <v>195</v>
      </c>
      <c r="G13" s="5" t="s">
        <v>196</v>
      </c>
    </row>
    <row r="14">
      <c r="A14" s="5" t="s">
        <v>60</v>
      </c>
      <c r="B14" s="5" t="s">
        <v>156</v>
      </c>
      <c r="C14" s="5" t="s">
        <v>136</v>
      </c>
      <c r="D14" s="5" t="s">
        <v>197</v>
      </c>
      <c r="E14" s="5" t="s">
        <v>198</v>
      </c>
      <c r="F14" s="5" t="s">
        <v>199</v>
      </c>
      <c r="G14" s="5" t="s">
        <v>200</v>
      </c>
    </row>
    <row r="15">
      <c r="A15" s="5" t="s">
        <v>62</v>
      </c>
      <c r="B15" s="5" t="s">
        <v>156</v>
      </c>
      <c r="C15" s="5" t="s">
        <v>201</v>
      </c>
      <c r="D15" s="5" t="s">
        <v>202</v>
      </c>
      <c r="E15" s="5" t="s">
        <v>203</v>
      </c>
      <c r="F15" s="5" t="s">
        <v>204</v>
      </c>
      <c r="G15" s="5" t="s">
        <v>205</v>
      </c>
    </row>
    <row r="16">
      <c r="A16" s="5" t="s">
        <v>64</v>
      </c>
      <c r="B16" s="5" t="s">
        <v>156</v>
      </c>
      <c r="C16" s="5" t="s">
        <v>206</v>
      </c>
      <c r="D16" s="5" t="s">
        <v>207</v>
      </c>
      <c r="E16" s="5" t="s">
        <v>208</v>
      </c>
      <c r="F16" s="5" t="s">
        <v>209</v>
      </c>
      <c r="G16" s="5" t="s">
        <v>210</v>
      </c>
    </row>
    <row r="17">
      <c r="A17" s="5" t="s">
        <v>211</v>
      </c>
      <c r="B17" s="5" t="s">
        <v>212</v>
      </c>
      <c r="C17" s="5" t="s">
        <v>136</v>
      </c>
      <c r="D17" s="5" t="s">
        <v>213</v>
      </c>
      <c r="E17" s="5" t="s">
        <v>214</v>
      </c>
      <c r="F17" s="5" t="s">
        <v>215</v>
      </c>
      <c r="G17" s="5" t="s">
        <v>216</v>
      </c>
    </row>
    <row r="18">
      <c r="A18" s="5" t="s">
        <v>19</v>
      </c>
      <c r="B18" s="5" t="s">
        <v>212</v>
      </c>
      <c r="C18" s="5" t="s">
        <v>217</v>
      </c>
      <c r="D18" s="5" t="s">
        <v>218</v>
      </c>
      <c r="E18" s="5" t="s">
        <v>219</v>
      </c>
      <c r="F18" s="5" t="s">
        <v>220</v>
      </c>
      <c r="G18" s="5" t="s">
        <v>221</v>
      </c>
    </row>
    <row r="19">
      <c r="A19" s="5" t="s">
        <v>24</v>
      </c>
      <c r="B19" s="5" t="s">
        <v>212</v>
      </c>
      <c r="C19" s="5" t="s">
        <v>222</v>
      </c>
      <c r="D19" s="5" t="s">
        <v>223</v>
      </c>
      <c r="E19" s="5" t="s">
        <v>224</v>
      </c>
      <c r="F19" s="5" t="s">
        <v>225</v>
      </c>
      <c r="G19" s="5" t="s">
        <v>226</v>
      </c>
    </row>
    <row r="20">
      <c r="A20" s="5" t="s">
        <v>31</v>
      </c>
      <c r="B20" s="5" t="s">
        <v>212</v>
      </c>
      <c r="C20" s="5" t="s">
        <v>227</v>
      </c>
      <c r="D20" s="5" t="s">
        <v>228</v>
      </c>
      <c r="E20" s="5" t="s">
        <v>229</v>
      </c>
      <c r="F20" s="5" t="s">
        <v>230</v>
      </c>
      <c r="G20" s="5" t="s">
        <v>231</v>
      </c>
    </row>
    <row r="21">
      <c r="A21" s="5" t="s">
        <v>232</v>
      </c>
      <c r="B21" s="5" t="s">
        <v>212</v>
      </c>
      <c r="C21" s="5" t="s">
        <v>233</v>
      </c>
      <c r="D21" s="5" t="s">
        <v>234</v>
      </c>
      <c r="E21" s="5" t="s">
        <v>235</v>
      </c>
      <c r="F21" s="5" t="s">
        <v>236</v>
      </c>
      <c r="G21" s="5" t="s">
        <v>237</v>
      </c>
    </row>
    <row r="22">
      <c r="A22" s="5" t="s">
        <v>10</v>
      </c>
      <c r="B22" s="5" t="s">
        <v>238</v>
      </c>
      <c r="C22" s="5" t="s">
        <v>239</v>
      </c>
      <c r="D22" s="5" t="s">
        <v>240</v>
      </c>
      <c r="E22" s="5" t="s">
        <v>241</v>
      </c>
      <c r="F22" s="5" t="s">
        <v>242</v>
      </c>
      <c r="G22" s="5" t="s">
        <v>243</v>
      </c>
    </row>
    <row r="23">
      <c r="A23" s="5" t="s">
        <v>15</v>
      </c>
      <c r="B23" s="5" t="s">
        <v>238</v>
      </c>
      <c r="C23" s="5" t="s">
        <v>244</v>
      </c>
      <c r="D23" s="5" t="s">
        <v>245</v>
      </c>
      <c r="E23" s="5" t="s">
        <v>246</v>
      </c>
      <c r="F23" s="5" t="s">
        <v>247</v>
      </c>
      <c r="G23" s="5" t="s">
        <v>248</v>
      </c>
    </row>
    <row r="24">
      <c r="A24" s="5" t="s">
        <v>21</v>
      </c>
      <c r="B24" s="5" t="s">
        <v>238</v>
      </c>
      <c r="C24" s="5" t="s">
        <v>249</v>
      </c>
      <c r="D24" s="5" t="s">
        <v>250</v>
      </c>
      <c r="E24" s="5" t="s">
        <v>251</v>
      </c>
      <c r="F24" s="5" t="s">
        <v>252</v>
      </c>
      <c r="G24" s="5" t="s">
        <v>253</v>
      </c>
    </row>
    <row r="25">
      <c r="A25" s="5" t="s">
        <v>254</v>
      </c>
      <c r="B25" s="5" t="s">
        <v>238</v>
      </c>
      <c r="C25" s="5" t="s">
        <v>255</v>
      </c>
      <c r="D25" s="5" t="s">
        <v>256</v>
      </c>
      <c r="E25" s="5" t="s">
        <v>257</v>
      </c>
      <c r="F25" s="5" t="s">
        <v>258</v>
      </c>
      <c r="G25" s="5" t="s">
        <v>259</v>
      </c>
    </row>
    <row r="26">
      <c r="A26" s="5" t="s">
        <v>68</v>
      </c>
      <c r="B26" s="5" t="s">
        <v>113</v>
      </c>
      <c r="C26" s="5" t="s">
        <v>260</v>
      </c>
      <c r="D26" s="5" t="s">
        <v>261</v>
      </c>
      <c r="E26" s="5" t="s">
        <v>262</v>
      </c>
      <c r="F26" s="5" t="s">
        <v>263</v>
      </c>
      <c r="G26" s="5" t="s">
        <v>264</v>
      </c>
    </row>
    <row r="27">
      <c r="A27" s="5" t="s">
        <v>70</v>
      </c>
      <c r="B27" s="5" t="s">
        <v>113</v>
      </c>
      <c r="C27" s="5" t="s">
        <v>136</v>
      </c>
      <c r="D27" s="5" t="s">
        <v>265</v>
      </c>
      <c r="E27" s="5" t="s">
        <v>266</v>
      </c>
      <c r="F27" s="5" t="s">
        <v>267</v>
      </c>
      <c r="G27" s="5" t="s">
        <v>268</v>
      </c>
    </row>
    <row r="28">
      <c r="A28" s="5" t="s">
        <v>72</v>
      </c>
      <c r="B28" s="5" t="s">
        <v>113</v>
      </c>
      <c r="C28" s="5" t="s">
        <v>269</v>
      </c>
      <c r="D28" s="5" t="s">
        <v>270</v>
      </c>
      <c r="E28" s="5" t="s">
        <v>271</v>
      </c>
      <c r="F28" s="5" t="s">
        <v>272</v>
      </c>
      <c r="G28" s="5" t="s">
        <v>273</v>
      </c>
    </row>
    <row r="29">
      <c r="A29" s="5" t="s">
        <v>74</v>
      </c>
      <c r="B29" s="5" t="s">
        <v>113</v>
      </c>
      <c r="C29" s="5" t="s">
        <v>274</v>
      </c>
      <c r="D29" s="5" t="s">
        <v>275</v>
      </c>
      <c r="E29" s="5" t="s">
        <v>276</v>
      </c>
      <c r="F29" s="5" t="s">
        <v>277</v>
      </c>
      <c r="G29" s="5" t="s">
        <v>278</v>
      </c>
    </row>
    <row r="30">
      <c r="A30" s="5" t="s">
        <v>77</v>
      </c>
      <c r="B30" s="5" t="s">
        <v>113</v>
      </c>
      <c r="C30" s="5" t="s">
        <v>279</v>
      </c>
      <c r="D30" s="5" t="s">
        <v>280</v>
      </c>
      <c r="E30" s="5" t="s">
        <v>281</v>
      </c>
      <c r="F30" s="5" t="s">
        <v>282</v>
      </c>
      <c r="G30" s="5" t="s">
        <v>283</v>
      </c>
    </row>
    <row r="31">
      <c r="A31" s="5" t="s">
        <v>82</v>
      </c>
      <c r="B31" s="5" t="s">
        <v>113</v>
      </c>
      <c r="C31" s="5" t="s">
        <v>284</v>
      </c>
      <c r="D31" s="5" t="s">
        <v>285</v>
      </c>
      <c r="E31" s="5" t="s">
        <v>286</v>
      </c>
      <c r="F31" s="5" t="s">
        <v>287</v>
      </c>
      <c r="G31" s="5" t="s">
        <v>288</v>
      </c>
    </row>
    <row r="32">
      <c r="A32" s="5" t="s">
        <v>88</v>
      </c>
      <c r="B32" s="5" t="s">
        <v>113</v>
      </c>
      <c r="C32" s="5" t="s">
        <v>289</v>
      </c>
      <c r="D32" s="5" t="s">
        <v>290</v>
      </c>
      <c r="E32" s="5" t="s">
        <v>291</v>
      </c>
      <c r="F32" s="5" t="s">
        <v>292</v>
      </c>
      <c r="G32" s="5" t="s">
        <v>293</v>
      </c>
    </row>
    <row r="33">
      <c r="A33" s="3" t="s">
        <v>294</v>
      </c>
      <c r="B33" s="3" t="s">
        <v>135</v>
      </c>
      <c r="C33" s="3" t="s">
        <v>295</v>
      </c>
      <c r="D33" s="3" t="s">
        <v>296</v>
      </c>
      <c r="E33" s="3" t="s">
        <v>297</v>
      </c>
      <c r="F33" s="3" t="s">
        <v>298</v>
      </c>
      <c r="G33" s="3" t="s">
        <v>299</v>
      </c>
    </row>
    <row r="34">
      <c r="A34" s="3" t="s">
        <v>46</v>
      </c>
      <c r="B34" s="3" t="s">
        <v>135</v>
      </c>
      <c r="C34" s="3" t="s">
        <v>300</v>
      </c>
      <c r="D34" s="3" t="s">
        <v>301</v>
      </c>
      <c r="E34" s="3" t="s">
        <v>302</v>
      </c>
      <c r="F34" s="3" t="s">
        <v>303</v>
      </c>
      <c r="G34" s="3" t="s">
        <v>304</v>
      </c>
    </row>
    <row r="35">
      <c r="A35" s="3" t="s">
        <v>305</v>
      </c>
      <c r="B35" s="3" t="s">
        <v>156</v>
      </c>
      <c r="C35" s="3" t="s">
        <v>306</v>
      </c>
      <c r="D35" s="3" t="s">
        <v>307</v>
      </c>
      <c r="E35" s="3" t="s">
        <v>308</v>
      </c>
      <c r="F35" s="3" t="s">
        <v>309</v>
      </c>
      <c r="G35" s="3" t="s">
        <v>310</v>
      </c>
    </row>
    <row r="36">
      <c r="A36" s="3" t="s">
        <v>311</v>
      </c>
      <c r="B36" s="3" t="s">
        <v>156</v>
      </c>
      <c r="C36" s="3" t="s">
        <v>312</v>
      </c>
      <c r="D36" s="3" t="s">
        <v>313</v>
      </c>
      <c r="E36" s="3" t="s">
        <v>314</v>
      </c>
      <c r="F36" s="3" t="s">
        <v>315</v>
      </c>
      <c r="G36" s="3" t="s">
        <v>316</v>
      </c>
    </row>
    <row r="37">
      <c r="A37" s="3" t="s">
        <v>317</v>
      </c>
      <c r="B37" s="3" t="s">
        <v>113</v>
      </c>
      <c r="C37" s="3" t="s">
        <v>318</v>
      </c>
      <c r="D37" s="3" t="s">
        <v>319</v>
      </c>
      <c r="E37" s="3" t="s">
        <v>320</v>
      </c>
      <c r="F37" s="3" t="s">
        <v>321</v>
      </c>
      <c r="G37" s="3" t="s">
        <v>322</v>
      </c>
    </row>
  </sheetData>
  <drawing r:id="rId1"/>
  <tableParts count="1">
    <tablePart r:id="rId3"/>
  </tableParts>
</worksheet>
</file>